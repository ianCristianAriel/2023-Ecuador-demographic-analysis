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<sst xmlns="http://schemas.openxmlformats.org/spreadsheetml/2006/main" count="98" uniqueCount="89">
  <si>
    <t xml:space="preserve">Actividad</t>
  </si>
  <si>
    <t xml:space="preserve">horas</t>
  </si>
  <si>
    <t xml:space="preserve">Servicios</t>
  </si>
  <si>
    <t xml:space="preserve">Monto USD</t>
  </si>
  <si>
    <t xml:space="preserve">REPOSITORIO</t>
  </si>
  <si>
    <t xml:space="preserve">Honorarios  científico de datos por hora</t>
  </si>
  <si>
    <t xml:space="preserve">2,3</t>
  </si>
  <si>
    <t xml:space="preserve">Estructura</t>
  </si>
  <si>
    <t xml:space="preserve">Costos servicio de luz</t>
  </si>
  <si>
    <t xml:space="preserve">0,10</t>
  </si>
  <si>
    <t xml:space="preserve">Confección de README.md</t>
  </si>
  <si>
    <t xml:space="preserve">Confección de requirements.txt</t>
  </si>
  <si>
    <t xml:space="preserve">Confección de license.md</t>
  </si>
  <si>
    <t xml:space="preserve">Horas totales</t>
  </si>
  <si>
    <t xml:space="preserve">Montos totales</t>
  </si>
  <si>
    <t xml:space="preserve">Confección de tablero Kanban en GitHub Project enlazado</t>
  </si>
  <si>
    <t xml:space="preserve">OBTENCIÓN Y LIMPIEZA DEL CONJUNTO DE DATOS WEB SCRAPING</t>
  </si>
  <si>
    <t xml:space="preserve">EDA PREPROCESAMIENTO DISTRIBUCIÓN DE LOS DATOS</t>
  </si>
  <si>
    <t xml:space="preserve">Selección de conjuntos de datos óptimos y abiertos</t>
  </si>
  <si>
    <t xml:space="preserve">MACHINE LEARNING CREACIÓN DE MODELOS</t>
  </si>
  <si>
    <t xml:space="preserve">Web scraping</t>
  </si>
  <si>
    <t xml:space="preserve">REVISIÓN GENERAL PUNTOS DE MEJORA</t>
  </si>
  <si>
    <t xml:space="preserve">Guardado del dataset</t>
  </si>
  <si>
    <t xml:space="preserve">IINSIGHTS DATA VIZ CORRELACIONES ALTAS</t>
  </si>
  <si>
    <t xml:space="preserve">LIMPIEZA</t>
  </si>
  <si>
    <t xml:space="preserve">INFORME ELABORACIÓN</t>
  </si>
  <si>
    <t xml:space="preserve">Seleccion de caracteristicas y columnas</t>
  </si>
  <si>
    <t xml:space="preserve">Formatear columnas</t>
  </si>
  <si>
    <t xml:space="preserve">Estandarización de datos</t>
  </si>
  <si>
    <t xml:space="preserve">Asigancion correcta de tipos de datos a cada columna</t>
  </si>
  <si>
    <t xml:space="preserve">Pagos</t>
  </si>
  <si>
    <t xml:space="preserve">Totales</t>
  </si>
  <si>
    <t xml:space="preserve">Ingenieria de caracteristicas</t>
  </si>
  <si>
    <t xml:space="preserve">Honorarios  científico por proyecto</t>
  </si>
  <si>
    <t xml:space="preserve">Unir datasets </t>
  </si>
  <si>
    <t xml:space="preserve">Monto de servicios involucrados (luz)</t>
  </si>
  <si>
    <t xml:space="preserve">NULOS</t>
  </si>
  <si>
    <t xml:space="preserve">Total en USD</t>
  </si>
  <si>
    <t xml:space="preserve">Detección de nulos por convención</t>
  </si>
  <si>
    <t xml:space="preserve">Detección de nulos implícitos</t>
  </si>
  <si>
    <t xml:space="preserve">Matriz de nulos</t>
  </si>
  <si>
    <t xml:space="preserve">Importación de algoritmos óptimos para imputación</t>
  </si>
  <si>
    <t xml:space="preserve">Imputación de valores faltantes</t>
  </si>
  <si>
    <t xml:space="preserve">GUARDADO</t>
  </si>
  <si>
    <t xml:space="preserve">Guardado CSV limpio</t>
  </si>
  <si>
    <t xml:space="preserve">Variables por columnas</t>
  </si>
  <si>
    <t xml:space="preserve">Gráfico de distribución / dispersión por variable</t>
  </si>
  <si>
    <t xml:space="preserve">CORRELACIÓN ENTRE VARIABLES</t>
  </si>
  <si>
    <t xml:space="preserve">Codificación variables categóricas</t>
  </si>
  <si>
    <t xml:space="preserve">Reducción de dimensionalidad</t>
  </si>
  <si>
    <t xml:space="preserve">Escalamiento</t>
  </si>
  <si>
    <t xml:space="preserve">Matriz de correlación</t>
  </si>
  <si>
    <t xml:space="preserve">CSV escalado</t>
  </si>
  <si>
    <t xml:space="preserve">CSV codificado</t>
  </si>
  <si>
    <t xml:space="preserve">Optimización de parámetros para modelos de regresión</t>
  </si>
  <si>
    <t xml:space="preserve">Optimización de parámetros para modelos de clasificación</t>
  </si>
  <si>
    <t xml:space="preserve">Creación de modelos de regresión con parámetros optimizados</t>
  </si>
  <si>
    <t xml:space="preserve">Creación de modelos de clasificación con parámetros optimizados</t>
  </si>
  <si>
    <t xml:space="preserve">ENTRENAMIENTO</t>
  </si>
  <si>
    <t xml:space="preserve">Entrenamiento de modelos de regresión</t>
  </si>
  <si>
    <t xml:space="preserve">Entrenamiento de modelos de clasificación</t>
  </si>
  <si>
    <t xml:space="preserve">TESTEO</t>
  </si>
  <si>
    <t xml:space="preserve">Obtención de porcentaje de presicion</t>
  </si>
  <si>
    <t xml:space="preserve">Exportación del modelo con mayor precisión a archivo .pkl</t>
  </si>
  <si>
    <t xml:space="preserve">Revisión e identificación de puntos</t>
  </si>
  <si>
    <t xml:space="preserve">CORRECCIÓN</t>
  </si>
  <si>
    <t xml:space="preserve">Optimización de código y mejoras puntuales</t>
  </si>
  <si>
    <t xml:space="preserve">Tríos de correlaciones superiores a ± 70%</t>
  </si>
  <si>
    <t xml:space="preserve">Preguntas en base a correlaciones</t>
  </si>
  <si>
    <t xml:space="preserve">Preguntas de interés</t>
  </si>
  <si>
    <t xml:space="preserve">Identificar gráficos mas adecuados</t>
  </si>
  <si>
    <t xml:space="preserve">Graficas descriptivas</t>
  </si>
  <si>
    <t xml:space="preserve">RESUMEN EJECUTIVO</t>
  </si>
  <si>
    <t xml:space="preserve">Descripción concisa del problema y objetivos.</t>
  </si>
  <si>
    <t xml:space="preserve">Principales hallazgos y recomendaciones.</t>
  </si>
  <si>
    <t xml:space="preserve">INTRODUCCION</t>
  </si>
  <si>
    <t xml:space="preserve">Contextualización y justificación del proyecto.</t>
  </si>
  <si>
    <t xml:space="preserve">Objetivos del análisis.</t>
  </si>
  <si>
    <t xml:space="preserve">DESCRIPCION DE ETAPA DE OBTENCION DE DATOS Y LIMPIEZA</t>
  </si>
  <si>
    <t xml:space="preserve">Descripción de impurezas</t>
  </si>
  <si>
    <t xml:space="preserve">Descripción de soluciones</t>
  </si>
  <si>
    <t xml:space="preserve">DESCRIPCION DE ETAPA DE EDA</t>
  </si>
  <si>
    <t xml:space="preserve">Distribución, estadísticas y visualizaciones clave.</t>
  </si>
  <si>
    <t xml:space="preserve">Correlaciones entre variables.</t>
  </si>
  <si>
    <t xml:space="preserve">DESCRIPCION DE ETAPA DE ML</t>
  </si>
  <si>
    <t xml:space="preserve">Selección y entrenamiento de modelos.</t>
  </si>
  <si>
    <t xml:space="preserve">Evaluación del rendimiento.</t>
  </si>
  <si>
    <t xml:space="preserve">CONCLUSIONES </t>
  </si>
  <si>
    <t xml:space="preserve">Recapitulación de objetivos y hallazgos.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</si>
</sst>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C9211E"/>
      <name val="Arial"/>
      <family val="0"/>
      <charset val="1"/>
    </font>
    <font>
      <sz val="10"/>
      <color rgb="FF2A6099"/>
      <name val="Arial"/>
      <family val="0"/>
      <charset val="1"/>
    </font>
    <font>
      <b val="true"/>
      <sz val="10"/>
      <color rgb="FF000000"/>
      <name val="Arial"/>
      <family val="0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4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83" activeCellId="0" sqref="A83"/>
    </sheetView>
  </sheetViews>
  <sheetFormatPr defaultColWidth="12.6328125" defaultRowHeight="12.8" zeroHeight="false" outlineLevelRow="0" outlineLevelCol="0"/>
  <cols>
    <col collapsed="false" customWidth="true" hidden="false" outlineLevel="0" max="1" min="1" style="1" width="65.53"/>
    <col collapsed="false" customWidth="true" hidden="false" outlineLevel="0" max="2" min="2" style="1" width="11.5"/>
    <col collapsed="false" customWidth="true" hidden="false" outlineLevel="0" max="3" min="3" style="1" width="23.3"/>
    <col collapsed="false" customWidth="true" hidden="false" outlineLevel="0" max="4" min="4" style="1" width="64.25"/>
    <col collapsed="false" customWidth="true" hidden="false" outlineLevel="0" max="5" min="5" style="1" width="16.75"/>
    <col collapsed="false" customWidth="true" hidden="false" outlineLevel="0" max="6" min="6" style="1" width="20.02"/>
    <col collapsed="false" customWidth="true" hidden="false" outlineLevel="0" max="37" min="7" style="1" width="11.5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D1" s="3" t="s">
        <v>2</v>
      </c>
      <c r="E1" s="3" t="s">
        <v>3</v>
      </c>
      <c r="F1" s="4"/>
    </row>
    <row r="2" customFormat="false" ht="12.75" hidden="false" customHeight="true" outlineLevel="0" collapsed="false">
      <c r="A2" s="5" t="s">
        <v>4</v>
      </c>
      <c r="B2" s="6"/>
      <c r="D2" s="7" t="s">
        <v>5</v>
      </c>
      <c r="E2" s="8" t="s">
        <v>6</v>
      </c>
    </row>
    <row r="3" customFormat="false" ht="12.75" hidden="false" customHeight="true" outlineLevel="0" collapsed="false">
      <c r="A3" s="7" t="s">
        <v>7</v>
      </c>
      <c r="B3" s="9" t="n">
        <v>1.5</v>
      </c>
      <c r="D3" s="7" t="s">
        <v>8</v>
      </c>
      <c r="E3" s="8" t="s">
        <v>9</v>
      </c>
    </row>
    <row r="4" customFormat="false" ht="12.75" hidden="false" customHeight="true" outlineLevel="0" collapsed="false">
      <c r="A4" s="7" t="s">
        <v>10</v>
      </c>
      <c r="B4" s="9" t="n">
        <v>2</v>
      </c>
      <c r="D4" s="4"/>
      <c r="E4" s="10"/>
    </row>
    <row r="5" customFormat="false" ht="12.75" hidden="false" customHeight="true" outlineLevel="0" collapsed="false">
      <c r="A5" s="7" t="s">
        <v>11</v>
      </c>
      <c r="B5" s="9" t="n">
        <v>1</v>
      </c>
    </row>
    <row r="6" customFormat="false" ht="12.75" hidden="false" customHeight="true" outlineLevel="0" collapsed="false">
      <c r="A6" s="7" t="s">
        <v>12</v>
      </c>
      <c r="B6" s="9" t="n">
        <v>2</v>
      </c>
      <c r="D6" s="11" t="s">
        <v>0</v>
      </c>
      <c r="E6" s="11" t="s">
        <v>13</v>
      </c>
      <c r="F6" s="11" t="s">
        <v>14</v>
      </c>
      <c r="G6" s="0"/>
    </row>
    <row r="7" customFormat="false" ht="12.75" hidden="false" customHeight="true" outlineLevel="0" collapsed="false">
      <c r="A7" s="7" t="s">
        <v>15</v>
      </c>
      <c r="B7" s="9" t="n">
        <v>3</v>
      </c>
      <c r="D7" s="12" t="s">
        <v>4</v>
      </c>
      <c r="E7" s="13" t="n">
        <f aca="false">SUM(B3:B7)</f>
        <v>9.5</v>
      </c>
      <c r="F7" s="13" t="n">
        <f aca="false">$E$2*E7</f>
        <v>21.85</v>
      </c>
    </row>
    <row r="8" customFormat="false" ht="12.75" hidden="false" customHeight="true" outlineLevel="0" collapsed="false">
      <c r="A8" s="14"/>
      <c r="B8" s="6"/>
      <c r="D8" s="5" t="s">
        <v>16</v>
      </c>
      <c r="E8" s="13" t="n">
        <f aca="false">SUM(B10:B27)</f>
        <v>41</v>
      </c>
      <c r="F8" s="13" t="n">
        <f aca="false">$E$2*E8</f>
        <v>94.3</v>
      </c>
    </row>
    <row r="9" customFormat="false" ht="12.75" hidden="false" customHeight="true" outlineLevel="0" collapsed="false">
      <c r="A9" s="5" t="s">
        <v>16</v>
      </c>
      <c r="B9" s="15"/>
      <c r="D9" s="5" t="s">
        <v>17</v>
      </c>
      <c r="E9" s="13" t="n">
        <f aca="false">SUM(B30:B39)</f>
        <v>14</v>
      </c>
      <c r="F9" s="13" t="n">
        <f aca="false">$E$2*E9</f>
        <v>32.2</v>
      </c>
    </row>
    <row r="10" customFormat="false" ht="12.75" hidden="false" customHeight="true" outlineLevel="0" collapsed="false">
      <c r="A10" s="7" t="s">
        <v>18</v>
      </c>
      <c r="B10" s="9" t="n">
        <v>9</v>
      </c>
      <c r="D10" s="5" t="s">
        <v>19</v>
      </c>
      <c r="E10" s="13" t="n">
        <f aca="false">SUM(B42:B51)</f>
        <v>21.5</v>
      </c>
      <c r="F10" s="13" t="n">
        <f aca="false">$E$2*E10</f>
        <v>49.45</v>
      </c>
    </row>
    <row r="11" customFormat="false" ht="14.75" hidden="false" customHeight="true" outlineLevel="0" collapsed="false">
      <c r="A11" s="7" t="s">
        <v>20</v>
      </c>
      <c r="B11" s="9" t="n">
        <v>1</v>
      </c>
      <c r="D11" s="5" t="s">
        <v>21</v>
      </c>
      <c r="E11" s="13" t="n">
        <f aca="false">SUM(B54:B56)</f>
        <v>10</v>
      </c>
      <c r="F11" s="13" t="n">
        <f aca="false">$E$2*E11</f>
        <v>23</v>
      </c>
    </row>
    <row r="12" customFormat="false" ht="12.75" hidden="false" customHeight="true" outlineLevel="0" collapsed="false">
      <c r="A12" s="7" t="s">
        <v>22</v>
      </c>
      <c r="B12" s="9" t="n">
        <v>0.5</v>
      </c>
      <c r="D12" s="5" t="s">
        <v>23</v>
      </c>
      <c r="E12" s="13" t="n">
        <f aca="false">SUM(B58:B63)</f>
        <v>10.5</v>
      </c>
      <c r="F12" s="13" t="n">
        <f aca="false">$E$2*E12</f>
        <v>24.15</v>
      </c>
    </row>
    <row r="13" customFormat="false" ht="12.75" hidden="false" customHeight="true" outlineLevel="0" collapsed="false">
      <c r="A13" s="16" t="s">
        <v>24</v>
      </c>
      <c r="B13" s="15"/>
      <c r="D13" s="5" t="s">
        <v>25</v>
      </c>
      <c r="E13" s="13" t="n">
        <f aca="false">SUM(B67:B82)</f>
        <v>51.5</v>
      </c>
      <c r="F13" s="13" t="n">
        <f aca="false">$E$2*E13</f>
        <v>118.45</v>
      </c>
    </row>
    <row r="14" customFormat="false" ht="12.75" hidden="false" customHeight="true" outlineLevel="0" collapsed="false">
      <c r="A14" s="7" t="s">
        <v>26</v>
      </c>
      <c r="B14" s="9" t="n">
        <v>3</v>
      </c>
    </row>
    <row r="15" customFormat="false" ht="12.75" hidden="false" customHeight="true" outlineLevel="0" collapsed="false">
      <c r="A15" s="7" t="s">
        <v>27</v>
      </c>
      <c r="B15" s="9" t="n">
        <v>4</v>
      </c>
    </row>
    <row r="16" customFormat="false" ht="12.75" hidden="false" customHeight="true" outlineLevel="0" collapsed="false">
      <c r="A16" s="7" t="s">
        <v>28</v>
      </c>
      <c r="B16" s="9" t="n">
        <v>4</v>
      </c>
    </row>
    <row r="17" customFormat="false" ht="12.75" hidden="false" customHeight="true" outlineLevel="0" collapsed="false">
      <c r="A17" s="7" t="s">
        <v>29</v>
      </c>
      <c r="B17" s="9" t="n">
        <v>3</v>
      </c>
      <c r="D17" s="13" t="s">
        <v>30</v>
      </c>
      <c r="E17" s="13" t="s">
        <v>31</v>
      </c>
    </row>
    <row r="18" customFormat="false" ht="12.75" hidden="false" customHeight="true" outlineLevel="0" collapsed="false">
      <c r="A18" s="7" t="s">
        <v>32</v>
      </c>
      <c r="B18" s="9" t="n">
        <v>4</v>
      </c>
      <c r="D18" s="17" t="s">
        <v>33</v>
      </c>
      <c r="E18" s="13" t="n">
        <f aca="false">(SUM(E7:E13)*E2)</f>
        <v>363.4</v>
      </c>
    </row>
    <row r="19" customFormat="false" ht="12.75" hidden="false" customHeight="true" outlineLevel="0" collapsed="false">
      <c r="A19" s="7" t="s">
        <v>34</v>
      </c>
      <c r="B19" s="9" t="n">
        <v>1.5</v>
      </c>
      <c r="D19" s="17" t="s">
        <v>35</v>
      </c>
      <c r="E19" s="13" t="n">
        <f aca="false">(SUM(E7:E13)*E3)</f>
        <v>15.8</v>
      </c>
    </row>
    <row r="20" customFormat="false" ht="12.75" hidden="false" customHeight="true" outlineLevel="0" collapsed="false">
      <c r="A20" s="16" t="s">
        <v>36</v>
      </c>
      <c r="B20" s="15"/>
      <c r="D20" s="18" t="s">
        <v>37</v>
      </c>
      <c r="E20" s="19" t="n">
        <f aca="false">SUM(E18:E19)</f>
        <v>379.2</v>
      </c>
    </row>
    <row r="21" customFormat="false" ht="12.75" hidden="false" customHeight="true" outlineLevel="0" collapsed="false">
      <c r="A21" s="7" t="s">
        <v>38</v>
      </c>
      <c r="B21" s="9" t="n">
        <v>3</v>
      </c>
    </row>
    <row r="22" customFormat="false" ht="12.75" hidden="false" customHeight="true" outlineLevel="0" collapsed="false">
      <c r="A22" s="7" t="s">
        <v>39</v>
      </c>
      <c r="B22" s="9" t="n">
        <v>4</v>
      </c>
    </row>
    <row r="23" customFormat="false" ht="12.75" hidden="false" customHeight="true" outlineLevel="0" collapsed="false">
      <c r="A23" s="7" t="s">
        <v>40</v>
      </c>
      <c r="B23" s="9" t="n">
        <v>0.5</v>
      </c>
    </row>
    <row r="24" customFormat="false" ht="12.75" hidden="false" customHeight="true" outlineLevel="0" collapsed="false">
      <c r="A24" s="7" t="s">
        <v>41</v>
      </c>
      <c r="B24" s="9" t="n">
        <v>1</v>
      </c>
    </row>
    <row r="25" customFormat="false" ht="12.75" hidden="false" customHeight="true" outlineLevel="0" collapsed="false">
      <c r="A25" s="7" t="s">
        <v>42</v>
      </c>
      <c r="B25" s="9" t="n">
        <v>2</v>
      </c>
    </row>
    <row r="26" customFormat="false" ht="12.75" hidden="false" customHeight="true" outlineLevel="0" collapsed="false">
      <c r="A26" s="16" t="s">
        <v>43</v>
      </c>
      <c r="B26" s="20"/>
    </row>
    <row r="27" customFormat="false" ht="12.75" hidden="false" customHeight="true" outlineLevel="0" collapsed="false">
      <c r="A27" s="7" t="s">
        <v>44</v>
      </c>
      <c r="B27" s="9" t="n">
        <v>0.5</v>
      </c>
    </row>
    <row r="28" customFormat="false" ht="12.75" hidden="false" customHeight="true" outlineLevel="0" collapsed="false">
      <c r="A28" s="14"/>
      <c r="B28" s="15"/>
    </row>
    <row r="29" customFormat="false" ht="12.75" hidden="false" customHeight="true" outlineLevel="0" collapsed="false">
      <c r="A29" s="5" t="s">
        <v>17</v>
      </c>
      <c r="B29" s="15"/>
    </row>
    <row r="30" customFormat="false" ht="12.75" hidden="false" customHeight="true" outlineLevel="0" collapsed="false">
      <c r="A30" s="7" t="s">
        <v>45</v>
      </c>
      <c r="B30" s="9" t="n">
        <v>1.5</v>
      </c>
    </row>
    <row r="31" customFormat="false" ht="12.35" hidden="false" customHeight="true" outlineLevel="0" collapsed="false">
      <c r="A31" s="7" t="s">
        <v>46</v>
      </c>
      <c r="B31" s="9" t="n">
        <v>2</v>
      </c>
    </row>
    <row r="32" customFormat="false" ht="12.75" hidden="false" customHeight="true" outlineLevel="0" collapsed="false">
      <c r="A32" s="16" t="s">
        <v>47</v>
      </c>
      <c r="B32" s="20"/>
    </row>
    <row r="33" customFormat="false" ht="12.75" hidden="false" customHeight="true" outlineLevel="0" collapsed="false">
      <c r="A33" s="7" t="s">
        <v>48</v>
      </c>
      <c r="B33" s="9" t="n">
        <v>3</v>
      </c>
    </row>
    <row r="34" customFormat="false" ht="12.75" hidden="false" customHeight="true" outlineLevel="0" collapsed="false">
      <c r="A34" s="7" t="s">
        <v>49</v>
      </c>
      <c r="B34" s="9" t="n">
        <v>3</v>
      </c>
    </row>
    <row r="35" customFormat="false" ht="12.75" hidden="false" customHeight="true" outlineLevel="0" collapsed="false">
      <c r="A35" s="7" t="s">
        <v>50</v>
      </c>
      <c r="B35" s="9" t="n">
        <v>3</v>
      </c>
    </row>
    <row r="36" customFormat="false" ht="12.75" hidden="false" customHeight="true" outlineLevel="0" collapsed="false">
      <c r="A36" s="7" t="s">
        <v>51</v>
      </c>
      <c r="B36" s="9" t="n">
        <v>0.5</v>
      </c>
    </row>
    <row r="37" customFormat="false" ht="12.75" hidden="false" customHeight="true" outlineLevel="0" collapsed="false">
      <c r="A37" s="16" t="s">
        <v>43</v>
      </c>
      <c r="B37" s="20"/>
    </row>
    <row r="38" customFormat="false" ht="12.75" hidden="false" customHeight="true" outlineLevel="0" collapsed="false">
      <c r="A38" s="7" t="s">
        <v>52</v>
      </c>
      <c r="B38" s="9" t="n">
        <v>0.5</v>
      </c>
    </row>
    <row r="39" customFormat="false" ht="12.75" hidden="false" customHeight="true" outlineLevel="0" collapsed="false">
      <c r="A39" s="7" t="s">
        <v>53</v>
      </c>
      <c r="B39" s="9" t="n">
        <v>0.5</v>
      </c>
    </row>
    <row r="40" customFormat="false" ht="12.75" hidden="false" customHeight="true" outlineLevel="0" collapsed="false">
      <c r="A40" s="14"/>
      <c r="B40" s="15"/>
    </row>
    <row r="41" customFormat="false" ht="12.75" hidden="false" customHeight="true" outlineLevel="0" collapsed="false">
      <c r="A41" s="5" t="s">
        <v>19</v>
      </c>
      <c r="B41" s="15"/>
    </row>
    <row r="42" customFormat="false" ht="12.75" hidden="false" customHeight="true" outlineLevel="0" collapsed="false">
      <c r="A42" s="7" t="s">
        <v>54</v>
      </c>
      <c r="B42" s="9" t="n">
        <v>4</v>
      </c>
    </row>
    <row r="43" customFormat="false" ht="12.75" hidden="false" customHeight="true" outlineLevel="0" collapsed="false">
      <c r="A43" s="7" t="s">
        <v>55</v>
      </c>
      <c r="B43" s="9" t="n">
        <v>4</v>
      </c>
    </row>
    <row r="44" customFormat="false" ht="12.75" hidden="false" customHeight="true" outlineLevel="0" collapsed="false">
      <c r="A44" s="7" t="s">
        <v>56</v>
      </c>
      <c r="B44" s="9" t="n">
        <v>3.5</v>
      </c>
    </row>
    <row r="45" customFormat="false" ht="12.75" hidden="false" customHeight="true" outlineLevel="0" collapsed="false">
      <c r="A45" s="7" t="s">
        <v>57</v>
      </c>
      <c r="B45" s="9" t="n">
        <v>3.5</v>
      </c>
    </row>
    <row r="46" customFormat="false" ht="12.75" hidden="false" customHeight="true" outlineLevel="0" collapsed="false">
      <c r="A46" s="16" t="s">
        <v>58</v>
      </c>
      <c r="B46" s="15"/>
    </row>
    <row r="47" customFormat="false" ht="12.75" hidden="false" customHeight="true" outlineLevel="0" collapsed="false">
      <c r="A47" s="7" t="s">
        <v>59</v>
      </c>
      <c r="B47" s="9" t="n">
        <v>2.5</v>
      </c>
    </row>
    <row r="48" customFormat="false" ht="12.75" hidden="false" customHeight="true" outlineLevel="0" collapsed="false">
      <c r="A48" s="7" t="s">
        <v>60</v>
      </c>
      <c r="B48" s="9" t="n">
        <v>2.5</v>
      </c>
    </row>
    <row r="49" customFormat="false" ht="12.75" hidden="false" customHeight="true" outlineLevel="0" collapsed="false">
      <c r="A49" s="16" t="s">
        <v>61</v>
      </c>
      <c r="B49" s="15"/>
    </row>
    <row r="50" customFormat="false" ht="12.75" hidden="false" customHeight="true" outlineLevel="0" collapsed="false">
      <c r="A50" s="7" t="s">
        <v>62</v>
      </c>
      <c r="B50" s="9" t="n">
        <v>1</v>
      </c>
    </row>
    <row r="51" customFormat="false" ht="12.75" hidden="false" customHeight="true" outlineLevel="0" collapsed="false">
      <c r="A51" s="7" t="s">
        <v>63</v>
      </c>
      <c r="B51" s="9" t="n">
        <v>0.5</v>
      </c>
    </row>
    <row r="52" customFormat="false" ht="12.75" hidden="false" customHeight="true" outlineLevel="0" collapsed="false">
      <c r="A52" s="14"/>
      <c r="B52" s="15"/>
    </row>
    <row r="53" customFormat="false" ht="12.75" hidden="false" customHeight="true" outlineLevel="0" collapsed="false">
      <c r="A53" s="5" t="s">
        <v>21</v>
      </c>
      <c r="B53" s="15"/>
    </row>
    <row r="54" customFormat="false" ht="12.75" hidden="false" customHeight="true" outlineLevel="0" collapsed="false">
      <c r="A54" s="7" t="s">
        <v>64</v>
      </c>
      <c r="B54" s="9" t="n">
        <v>5</v>
      </c>
    </row>
    <row r="55" customFormat="false" ht="12.75" hidden="false" customHeight="true" outlineLevel="0" collapsed="false">
      <c r="A55" s="16" t="s">
        <v>65</v>
      </c>
      <c r="B55" s="15"/>
    </row>
    <row r="56" customFormat="false" ht="12.75" hidden="false" customHeight="true" outlineLevel="0" collapsed="false">
      <c r="A56" s="7" t="s">
        <v>66</v>
      </c>
      <c r="B56" s="9" t="n">
        <v>5</v>
      </c>
    </row>
    <row r="57" customFormat="false" ht="12.75" hidden="false" customHeight="true" outlineLevel="0" collapsed="false">
      <c r="A57" s="14"/>
      <c r="B57" s="15"/>
    </row>
    <row r="58" customFormat="false" ht="12.75" hidden="false" customHeight="true" outlineLevel="0" collapsed="false">
      <c r="A58" s="5" t="s">
        <v>23</v>
      </c>
      <c r="B58" s="15"/>
    </row>
    <row r="59" customFormat="false" ht="12.75" hidden="false" customHeight="true" outlineLevel="0" collapsed="false">
      <c r="A59" s="7" t="s">
        <v>67</v>
      </c>
      <c r="B59" s="9" t="n">
        <v>1.5</v>
      </c>
    </row>
    <row r="60" customFormat="false" ht="12.75" hidden="false" customHeight="true" outlineLevel="0" collapsed="false">
      <c r="A60" s="7" t="s">
        <v>68</v>
      </c>
      <c r="B60" s="9" t="n">
        <v>1.5</v>
      </c>
    </row>
    <row r="61" customFormat="false" ht="12.75" hidden="false" customHeight="true" outlineLevel="0" collapsed="false">
      <c r="A61" s="7" t="s">
        <v>69</v>
      </c>
      <c r="B61" s="9" t="n">
        <v>1.5</v>
      </c>
    </row>
    <row r="62" customFormat="false" ht="12.75" hidden="false" customHeight="true" outlineLevel="0" collapsed="false">
      <c r="A62" s="7" t="s">
        <v>70</v>
      </c>
      <c r="B62" s="9" t="n">
        <v>3</v>
      </c>
    </row>
    <row r="63" customFormat="false" ht="12.75" hidden="false" customHeight="true" outlineLevel="0" collapsed="false">
      <c r="A63" s="7" t="s">
        <v>71</v>
      </c>
      <c r="B63" s="9" t="n">
        <v>3</v>
      </c>
    </row>
    <row r="64" customFormat="false" ht="12.75" hidden="false" customHeight="true" outlineLevel="0" collapsed="false">
      <c r="A64" s="14"/>
      <c r="B64" s="15"/>
    </row>
    <row r="65" customFormat="false" ht="12.75" hidden="false" customHeight="true" outlineLevel="0" collapsed="false">
      <c r="A65" s="5" t="s">
        <v>25</v>
      </c>
      <c r="B65" s="15"/>
    </row>
    <row r="66" customFormat="false" ht="12.75" hidden="false" customHeight="true" outlineLevel="0" collapsed="false">
      <c r="A66" s="7" t="s">
        <v>72</v>
      </c>
      <c r="B66" s="15"/>
      <c r="C66" s="0"/>
    </row>
    <row r="67" customFormat="false" ht="12.75" hidden="false" customHeight="true" outlineLevel="0" collapsed="false">
      <c r="A67" s="7" t="s">
        <v>73</v>
      </c>
      <c r="B67" s="2" t="n">
        <v>4</v>
      </c>
      <c r="C67" s="0"/>
    </row>
    <row r="68" customFormat="false" ht="12.75" hidden="false" customHeight="true" outlineLevel="0" collapsed="false">
      <c r="A68" s="7" t="s">
        <v>74</v>
      </c>
      <c r="B68" s="2" t="n">
        <v>4</v>
      </c>
      <c r="C68" s="0"/>
    </row>
    <row r="69" customFormat="false" ht="12.75" hidden="false" customHeight="true" outlineLevel="0" collapsed="false">
      <c r="A69" s="7" t="s">
        <v>75</v>
      </c>
      <c r="B69" s="15"/>
      <c r="C69" s="0"/>
    </row>
    <row r="70" customFormat="false" ht="12.75" hidden="false" customHeight="true" outlineLevel="0" collapsed="false">
      <c r="A70" s="7" t="s">
        <v>76</v>
      </c>
      <c r="B70" s="2" t="n">
        <v>7</v>
      </c>
      <c r="C70" s="0"/>
    </row>
    <row r="71" customFormat="false" ht="12.75" hidden="false" customHeight="true" outlineLevel="0" collapsed="false">
      <c r="A71" s="7" t="s">
        <v>77</v>
      </c>
      <c r="B71" s="2" t="n">
        <v>7</v>
      </c>
      <c r="C71" s="0"/>
    </row>
    <row r="72" customFormat="false" ht="12.75" hidden="false" customHeight="true" outlineLevel="0" collapsed="false">
      <c r="A72" s="21" t="s">
        <v>78</v>
      </c>
      <c r="B72" s="15"/>
      <c r="C72" s="4"/>
    </row>
    <row r="73" customFormat="false" ht="12.75" hidden="false" customHeight="true" outlineLevel="0" collapsed="false">
      <c r="A73" s="7" t="s">
        <v>79</v>
      </c>
      <c r="B73" s="2" t="n">
        <v>3.5</v>
      </c>
      <c r="C73" s="4"/>
    </row>
    <row r="74" customFormat="false" ht="12.75" hidden="false" customHeight="true" outlineLevel="0" collapsed="false">
      <c r="A74" s="7" t="s">
        <v>80</v>
      </c>
      <c r="B74" s="2" t="n">
        <v>3.5</v>
      </c>
      <c r="C74" s="4"/>
    </row>
    <row r="75" customFormat="false" ht="12.75" hidden="false" customHeight="true" outlineLevel="0" collapsed="false">
      <c r="A75" s="7" t="s">
        <v>81</v>
      </c>
      <c r="B75" s="22"/>
      <c r="C75" s="0"/>
    </row>
    <row r="76" customFormat="false" ht="12.75" hidden="false" customHeight="true" outlineLevel="0" collapsed="false">
      <c r="A76" s="7" t="s">
        <v>82</v>
      </c>
      <c r="B76" s="13" t="n">
        <v>2</v>
      </c>
      <c r="C76" s="0"/>
    </row>
    <row r="77" customFormat="false" ht="12.75" hidden="false" customHeight="true" outlineLevel="0" collapsed="false">
      <c r="A77" s="7" t="s">
        <v>83</v>
      </c>
      <c r="B77" s="13" t="n">
        <v>2.5</v>
      </c>
      <c r="C77" s="0"/>
    </row>
    <row r="78" customFormat="false" ht="12.75" hidden="false" customHeight="true" outlineLevel="0" collapsed="false">
      <c r="A78" s="7" t="s">
        <v>84</v>
      </c>
      <c r="B78" s="22"/>
      <c r="C78" s="0"/>
    </row>
    <row r="79" customFormat="false" ht="12.75" hidden="false" customHeight="true" outlineLevel="0" collapsed="false">
      <c r="A79" s="7" t="s">
        <v>85</v>
      </c>
      <c r="B79" s="13" t="n">
        <v>5</v>
      </c>
      <c r="C79" s="0"/>
    </row>
    <row r="80" customFormat="false" ht="12.75" hidden="false" customHeight="true" outlineLevel="0" collapsed="false">
      <c r="A80" s="7" t="s">
        <v>86</v>
      </c>
      <c r="B80" s="13" t="n">
        <v>5</v>
      </c>
      <c r="C80" s="0"/>
    </row>
    <row r="81" customFormat="false" ht="12.75" hidden="false" customHeight="true" outlineLevel="0" collapsed="false">
      <c r="A81" s="7" t="s">
        <v>87</v>
      </c>
      <c r="B81" s="22"/>
      <c r="C81" s="0"/>
    </row>
    <row r="82" customFormat="false" ht="12.75" hidden="false" customHeight="true" outlineLevel="0" collapsed="false">
      <c r="A82" s="7" t="s">
        <v>88</v>
      </c>
      <c r="B82" s="13" t="n">
        <v>8</v>
      </c>
      <c r="C82" s="0"/>
    </row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</TotalTime>
  <Application>LibreOffice/7.5.5.2$MacOSX_AARCH64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2023-12-06T03:45:38Z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